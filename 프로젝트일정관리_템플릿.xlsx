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workspace\schedule\"/>
    </mc:Choice>
  </mc:AlternateContent>
  <xr:revisionPtr revIDLastSave="0" documentId="13_ncr:1_{2A865908-7126-4B41-884C-9A14FB120B8D}" xr6:coauthVersionLast="47" xr6:coauthVersionMax="47" xr10:uidLastSave="{00000000-0000-0000-0000-000000000000}"/>
  <bookViews>
    <workbookView xWindow="-28920" yWindow="6210" windowWidth="29040" windowHeight="15720" activeTab="2" xr2:uid="{00000000-000D-0000-FFFF-FFFF00000000}"/>
  </bookViews>
  <sheets>
    <sheet name="일정관리" sheetId="1" r:id="rId1"/>
    <sheet name="Holidays" sheetId="2" r:id="rId2"/>
    <sheet name="누락날짜시트" sheetId="3" r:id="rId3"/>
  </sheets>
  <definedNames>
    <definedName name="_xlnm._FilterDatabase" localSheetId="0" hidden="1">일정관리!$A$1:$H$31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3" l="1"/>
  <c r="A6" i="3"/>
  <c r="H19" i="1"/>
  <c r="H12" i="1"/>
  <c r="H13" i="1"/>
  <c r="H14" i="1"/>
  <c r="H15" i="1"/>
  <c r="H16" i="1"/>
  <c r="H17" i="1"/>
  <c r="H18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H3" i="1"/>
  <c r="H4" i="1"/>
  <c r="H5" i="1"/>
  <c r="H6" i="1"/>
  <c r="H7" i="1"/>
  <c r="H8" i="1"/>
  <c r="H9" i="1"/>
  <c r="H10" i="1"/>
  <c r="H11" i="1"/>
</calcChain>
</file>

<file path=xl/sharedStrings.xml><?xml version="1.0" encoding="utf-8"?>
<sst xmlns="http://schemas.openxmlformats.org/spreadsheetml/2006/main" count="231" uniqueCount="91">
  <si>
    <t>대분류</t>
  </si>
  <si>
    <t>중분류</t>
  </si>
  <si>
    <t>프로그램ID</t>
  </si>
  <si>
    <t>작업명</t>
  </si>
  <si>
    <t>작업자</t>
  </si>
  <si>
    <t>시작일자</t>
  </si>
  <si>
    <t>종료일자</t>
  </si>
  <si>
    <t>실제근무일</t>
  </si>
  <si>
    <t>개발</t>
  </si>
  <si>
    <t>DB</t>
  </si>
  <si>
    <t>PRG008</t>
  </si>
  <si>
    <t>데이터검증</t>
  </si>
  <si>
    <t>작업자1</t>
  </si>
  <si>
    <t>2026-04-29</t>
  </si>
  <si>
    <t>2026-05-01</t>
  </si>
  <si>
    <t>설계</t>
  </si>
  <si>
    <t>PRG001</t>
  </si>
  <si>
    <t>데이터조회</t>
  </si>
  <si>
    <t>2026-03-03</t>
  </si>
  <si>
    <t>2026-03-12</t>
  </si>
  <si>
    <t>배포</t>
  </si>
  <si>
    <t>인터페이스</t>
  </si>
  <si>
    <t>PRG010</t>
  </si>
  <si>
    <t>승인처리</t>
  </si>
  <si>
    <t>2026-05-08</t>
  </si>
  <si>
    <t>API</t>
  </si>
  <si>
    <t>PRG003</t>
  </si>
  <si>
    <t>로그인기능</t>
  </si>
  <si>
    <t>2026-03-23</t>
  </si>
  <si>
    <t>2026-03-31</t>
  </si>
  <si>
    <t>화면</t>
  </si>
  <si>
    <t>PRG005</t>
  </si>
  <si>
    <t>알림기능</t>
  </si>
  <si>
    <t>2026-04-08</t>
  </si>
  <si>
    <t>2026-04-15</t>
  </si>
  <si>
    <t>PRG002</t>
  </si>
  <si>
    <t>2026-03-13</t>
  </si>
  <si>
    <t>2026-03-20</t>
  </si>
  <si>
    <t>테스트</t>
  </si>
  <si>
    <t>PRG004</t>
  </si>
  <si>
    <t>2026-04-01</t>
  </si>
  <si>
    <t>2026-04-07</t>
  </si>
  <si>
    <t>PRG006</t>
  </si>
  <si>
    <t>2026-04-16</t>
  </si>
  <si>
    <t>PRG007</t>
  </si>
  <si>
    <t>보고서출력</t>
  </si>
  <si>
    <t>2026-04-23</t>
  </si>
  <si>
    <t>2026-04-28</t>
  </si>
  <si>
    <t>PRG009</t>
  </si>
  <si>
    <t>2026-05-04</t>
  </si>
  <si>
    <t>2026-05-06</t>
  </si>
  <si>
    <t>작업자2</t>
  </si>
  <si>
    <t>통계분석</t>
  </si>
  <si>
    <t>2026-03-30</t>
  </si>
  <si>
    <t>2026-04-21</t>
  </si>
  <si>
    <t>2026-04-30</t>
  </si>
  <si>
    <t>2026-05-13</t>
  </si>
  <si>
    <t>파일업로드</t>
  </si>
  <si>
    <t>2026-04-20</t>
  </si>
  <si>
    <t>2026-03-18</t>
  </si>
  <si>
    <t>2026-05-05</t>
  </si>
  <si>
    <t>2026-03-19</t>
  </si>
  <si>
    <t>2026-03-27</t>
  </si>
  <si>
    <t>메인화면</t>
  </si>
  <si>
    <t>2026-03-11</t>
  </si>
  <si>
    <t>2026-05-14</t>
  </si>
  <si>
    <t>2026-05-18</t>
  </si>
  <si>
    <t>작업자3</t>
  </si>
  <si>
    <t>2026-03-24</t>
  </si>
  <si>
    <t>2026-03-25</t>
  </si>
  <si>
    <t>2026-03-26</t>
  </si>
  <si>
    <t>2026-04-13</t>
  </si>
  <si>
    <t>2026-03-16</t>
  </si>
  <si>
    <t>2026-04-02</t>
  </si>
  <si>
    <t>2026-03-10</t>
  </si>
  <si>
    <t>2026-04-10</t>
  </si>
  <si>
    <t>2026-04-03</t>
  </si>
  <si>
    <t>2026-04-06</t>
  </si>
  <si>
    <t>공휴일</t>
  </si>
  <si>
    <t>2026-01-01</t>
  </si>
  <si>
    <t>2026-03-01</t>
  </si>
  <si>
    <t>2026-06-06</t>
  </si>
  <si>
    <t>2026-08-15</t>
  </si>
  <si>
    <t>2026-10-03</t>
  </si>
  <si>
    <t>2026-10-09</t>
  </si>
  <si>
    <t>2026-12-25</t>
  </si>
  <si>
    <t>누락된 날짜</t>
  </si>
  <si>
    <t>※ 작업자 입력:</t>
  </si>
  <si>
    <t>※ 사용 수식 예시:</t>
  </si>
  <si>
    <t>(작업자의 최소 시작일)</t>
  </si>
  <si>
    <t>(작업자의 최대 종료일)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</si>
</sst>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00"/>
        <bgColor rgb="FFFFFF00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14" fontId="0" fillId="0" borderId="0" xfId="0" applyNumberFormat="1"/>
    <xf numFmtId="14" fontId="0" fillId="4" borderId="0" xfId="0" applyNumberFormat="1" applyFill="1" applyAlignment="1">
      <alignment horizontal="lef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31"/>
  <sheetViews>
    <sheetView zoomScaleNormal="100" workbookViewId="0">
      <selection activeCell="F4" sqref="F4"/>
    </sheetView>
  </sheetViews>
  <sheetFormatPr defaultRowHeight="16.899999999999999" x14ac:dyDescent="0.6"/>
  <cols>
    <col min="1" max="2" width="15" customWidth="1"/>
    <col min="3" max="3" width="12" customWidth="1"/>
    <col min="4" max="4" width="30" customWidth="1"/>
    <col min="5" max="7" width="12" customWidth="1"/>
    <col min="8" max="8" width="15.3125" style="4" customWidth="1"/>
  </cols>
  <sheetData>
    <row r="1" spans="1:8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6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4">
        <f>NETWORKDAYS(F2,G2,Holidays!$A$2:$A$9)</f>
        <v>3</v>
      </c>
    </row>
    <row r="3" spans="1:8" x14ac:dyDescent="0.6">
      <c r="A3" t="s">
        <v>15</v>
      </c>
      <c r="B3" t="s">
        <v>9</v>
      </c>
      <c r="C3" t="s">
        <v>16</v>
      </c>
      <c r="D3" t="s">
        <v>17</v>
      </c>
      <c r="E3" t="s">
        <v>12</v>
      </c>
      <c r="F3" t="s">
        <v>18</v>
      </c>
      <c r="G3" t="s">
        <v>19</v>
      </c>
      <c r="H3" s="4">
        <f>NETWORKDAYS(F3,G3,Holidays!$A$2:$A$9)</f>
        <v>8</v>
      </c>
    </row>
    <row r="4" spans="1:8" x14ac:dyDescent="0.6">
      <c r="A4" t="s">
        <v>20</v>
      </c>
      <c r="B4" t="s">
        <v>21</v>
      </c>
      <c r="C4" t="s">
        <v>22</v>
      </c>
      <c r="D4" t="s">
        <v>23</v>
      </c>
      <c r="E4" t="s">
        <v>12</v>
      </c>
      <c r="F4" s="7">
        <v>46150</v>
      </c>
      <c r="G4" t="s">
        <v>24</v>
      </c>
      <c r="H4" s="4">
        <f>NETWORKDAYS(F4,G4,Holidays!$A$2:$A$9)</f>
        <v>1</v>
      </c>
    </row>
    <row r="5" spans="1:8" x14ac:dyDescent="0.6">
      <c r="A5" t="s">
        <v>20</v>
      </c>
      <c r="B5" t="s">
        <v>25</v>
      </c>
      <c r="C5" t="s">
        <v>26</v>
      </c>
      <c r="D5" t="s">
        <v>27</v>
      </c>
      <c r="E5" t="s">
        <v>12</v>
      </c>
      <c r="F5" t="s">
        <v>28</v>
      </c>
      <c r="G5" t="s">
        <v>29</v>
      </c>
      <c r="H5" s="4">
        <f>NETWORKDAYS(F5,G5,Holidays!$A$2:$A$9)</f>
        <v>7</v>
      </c>
    </row>
    <row r="6" spans="1:8" x14ac:dyDescent="0.6">
      <c r="A6" t="s">
        <v>15</v>
      </c>
      <c r="B6" t="s">
        <v>30</v>
      </c>
      <c r="C6" t="s">
        <v>31</v>
      </c>
      <c r="D6" t="s">
        <v>32</v>
      </c>
      <c r="E6" t="s">
        <v>12</v>
      </c>
      <c r="F6" t="s">
        <v>33</v>
      </c>
      <c r="G6" t="s">
        <v>34</v>
      </c>
      <c r="H6" s="4">
        <f>NETWORKDAYS(F6,G6,Holidays!$A$2:$A$9)</f>
        <v>6</v>
      </c>
    </row>
    <row r="7" spans="1:8" x14ac:dyDescent="0.6">
      <c r="A7" t="s">
        <v>20</v>
      </c>
      <c r="B7" t="s">
        <v>25</v>
      </c>
      <c r="C7" t="s">
        <v>35</v>
      </c>
      <c r="D7" t="s">
        <v>32</v>
      </c>
      <c r="E7" t="s">
        <v>12</v>
      </c>
      <c r="F7" s="7">
        <v>46095</v>
      </c>
      <c r="G7" t="s">
        <v>37</v>
      </c>
      <c r="H7" s="4">
        <f>NETWORKDAYS(F7,G7,Holidays!$A$2:$A$9)</f>
        <v>5</v>
      </c>
    </row>
    <row r="8" spans="1:8" x14ac:dyDescent="0.6">
      <c r="A8" t="s">
        <v>38</v>
      </c>
      <c r="B8" t="s">
        <v>21</v>
      </c>
      <c r="C8" t="s">
        <v>39</v>
      </c>
      <c r="D8" t="s">
        <v>11</v>
      </c>
      <c r="E8" t="s">
        <v>12</v>
      </c>
      <c r="F8" t="s">
        <v>40</v>
      </c>
      <c r="G8" t="s">
        <v>41</v>
      </c>
      <c r="H8" s="4">
        <f>NETWORKDAYS(F8,G8,Holidays!$A$2:$A$9)</f>
        <v>5</v>
      </c>
    </row>
    <row r="9" spans="1:8" x14ac:dyDescent="0.6">
      <c r="A9" t="s">
        <v>38</v>
      </c>
      <c r="B9" t="s">
        <v>9</v>
      </c>
      <c r="C9" t="s">
        <v>42</v>
      </c>
      <c r="D9" t="s">
        <v>32</v>
      </c>
      <c r="E9" t="s">
        <v>12</v>
      </c>
      <c r="F9" s="5" t="s">
        <v>43</v>
      </c>
      <c r="G9" s="7">
        <v>46132</v>
      </c>
      <c r="H9" s="4">
        <f>NETWORKDAYS(F9,G9,Holidays!$A$2:$A$9)</f>
        <v>3</v>
      </c>
    </row>
    <row r="10" spans="1:8" x14ac:dyDescent="0.6">
      <c r="A10" t="s">
        <v>20</v>
      </c>
      <c r="B10" t="s">
        <v>21</v>
      </c>
      <c r="C10" t="s">
        <v>44</v>
      </c>
      <c r="D10" t="s">
        <v>45</v>
      </c>
      <c r="E10" t="s">
        <v>12</v>
      </c>
      <c r="F10" t="s">
        <v>46</v>
      </c>
      <c r="G10" t="s">
        <v>47</v>
      </c>
      <c r="H10" s="4">
        <f>NETWORKDAYS(F10,G10,Holidays!$A$2:$A$9)</f>
        <v>4</v>
      </c>
    </row>
    <row r="11" spans="1:8" x14ac:dyDescent="0.6">
      <c r="A11" t="s">
        <v>38</v>
      </c>
      <c r="B11" t="s">
        <v>25</v>
      </c>
      <c r="C11" t="s">
        <v>48</v>
      </c>
      <c r="D11" t="s">
        <v>32</v>
      </c>
      <c r="E11" t="s">
        <v>12</v>
      </c>
      <c r="F11" t="s">
        <v>49</v>
      </c>
      <c r="G11" t="s">
        <v>50</v>
      </c>
      <c r="H11" s="4">
        <f>NETWORKDAYS(F11,G11,Holidays!$A$2:$A$9)</f>
        <v>2</v>
      </c>
    </row>
    <row r="12" spans="1:8" hidden="1" x14ac:dyDescent="0.6">
      <c r="A12" t="s">
        <v>15</v>
      </c>
      <c r="B12" t="s">
        <v>30</v>
      </c>
      <c r="C12" t="s">
        <v>31</v>
      </c>
      <c r="D12" t="s">
        <v>17</v>
      </c>
      <c r="E12" t="s">
        <v>51</v>
      </c>
      <c r="F12" t="s">
        <v>33</v>
      </c>
      <c r="G12" t="s">
        <v>34</v>
      </c>
      <c r="H12" s="4">
        <f>NETWORKDAYS(F12,G12,Holidays!$A$2:$A$9)</f>
        <v>6</v>
      </c>
    </row>
    <row r="13" spans="1:8" hidden="1" x14ac:dyDescent="0.6">
      <c r="A13" t="s">
        <v>8</v>
      </c>
      <c r="B13" t="s">
        <v>30</v>
      </c>
      <c r="C13" t="s">
        <v>39</v>
      </c>
      <c r="D13" t="s">
        <v>52</v>
      </c>
      <c r="E13" t="s">
        <v>51</v>
      </c>
      <c r="F13" t="s">
        <v>53</v>
      </c>
      <c r="G13" t="s">
        <v>41</v>
      </c>
      <c r="H13" s="4">
        <f>NETWORKDAYS(F13,G13,Holidays!$A$2:$A$9)</f>
        <v>7</v>
      </c>
    </row>
    <row r="14" spans="1:8" hidden="1" x14ac:dyDescent="0.6">
      <c r="A14" t="s">
        <v>15</v>
      </c>
      <c r="B14" t="s">
        <v>25</v>
      </c>
      <c r="C14" t="s">
        <v>44</v>
      </c>
      <c r="D14" t="s">
        <v>52</v>
      </c>
      <c r="E14" t="s">
        <v>51</v>
      </c>
      <c r="F14" t="s">
        <v>54</v>
      </c>
      <c r="G14" t="s">
        <v>55</v>
      </c>
      <c r="H14" s="4">
        <f>NETWORKDAYS(F14,G14,Holidays!$A$2:$A$9)</f>
        <v>8</v>
      </c>
    </row>
    <row r="15" spans="1:8" hidden="1" x14ac:dyDescent="0.6">
      <c r="A15" t="s">
        <v>20</v>
      </c>
      <c r="B15" t="s">
        <v>21</v>
      </c>
      <c r="C15" t="s">
        <v>48</v>
      </c>
      <c r="D15" t="s">
        <v>45</v>
      </c>
      <c r="E15" t="s">
        <v>51</v>
      </c>
      <c r="F15" t="s">
        <v>50</v>
      </c>
      <c r="G15" t="s">
        <v>56</v>
      </c>
      <c r="H15" s="4">
        <f>NETWORKDAYS(F15,G15,Holidays!$A$2:$A$9)</f>
        <v>6</v>
      </c>
    </row>
    <row r="16" spans="1:8" hidden="1" x14ac:dyDescent="0.6">
      <c r="A16" t="s">
        <v>20</v>
      </c>
      <c r="B16" t="s">
        <v>25</v>
      </c>
      <c r="C16" t="s">
        <v>42</v>
      </c>
      <c r="D16" t="s">
        <v>57</v>
      </c>
      <c r="E16" t="s">
        <v>51</v>
      </c>
      <c r="F16" t="s">
        <v>43</v>
      </c>
      <c r="G16" t="s">
        <v>58</v>
      </c>
      <c r="H16" s="4">
        <f>NETWORKDAYS(F16,G16,Holidays!$A$2:$A$9)</f>
        <v>3</v>
      </c>
    </row>
    <row r="17" spans="1:8" hidden="1" x14ac:dyDescent="0.6">
      <c r="A17" t="s">
        <v>8</v>
      </c>
      <c r="B17" t="s">
        <v>21</v>
      </c>
      <c r="C17" t="s">
        <v>35</v>
      </c>
      <c r="D17" t="s">
        <v>17</v>
      </c>
      <c r="E17" t="s">
        <v>51</v>
      </c>
      <c r="F17" t="s">
        <v>19</v>
      </c>
      <c r="G17" t="s">
        <v>59</v>
      </c>
      <c r="H17" s="4">
        <f>NETWORKDAYS(F17,G17,Holidays!$A$2:$A$9)</f>
        <v>5</v>
      </c>
    </row>
    <row r="18" spans="1:8" hidden="1" x14ac:dyDescent="0.6">
      <c r="A18" t="s">
        <v>15</v>
      </c>
      <c r="B18" t="s">
        <v>25</v>
      </c>
      <c r="C18" t="s">
        <v>10</v>
      </c>
      <c r="D18" t="s">
        <v>17</v>
      </c>
      <c r="E18" t="s">
        <v>51</v>
      </c>
      <c r="F18" t="s">
        <v>14</v>
      </c>
      <c r="G18" t="s">
        <v>60</v>
      </c>
      <c r="H18" s="4">
        <f>NETWORKDAYS(F18,G18,Holidays!$A$2:$A$9)</f>
        <v>2</v>
      </c>
    </row>
    <row r="19" spans="1:8" hidden="1" x14ac:dyDescent="0.6">
      <c r="A19" t="s">
        <v>20</v>
      </c>
      <c r="B19" t="s">
        <v>25</v>
      </c>
      <c r="C19" t="s">
        <v>26</v>
      </c>
      <c r="D19" t="s">
        <v>57</v>
      </c>
      <c r="E19" t="s">
        <v>51</v>
      </c>
      <c r="F19" t="s">
        <v>61</v>
      </c>
      <c r="G19" t="s">
        <v>62</v>
      </c>
      <c r="H19" s="4">
        <f>NETWORKDAYS(F19,G19,Holidays!$A$2:$A$9)</f>
        <v>7</v>
      </c>
    </row>
    <row r="20" spans="1:8" hidden="1" x14ac:dyDescent="0.6">
      <c r="A20" t="s">
        <v>8</v>
      </c>
      <c r="B20" t="s">
        <v>9</v>
      </c>
      <c r="C20" t="s">
        <v>16</v>
      </c>
      <c r="D20" t="s">
        <v>63</v>
      </c>
      <c r="E20" t="s">
        <v>51</v>
      </c>
      <c r="F20" t="s">
        <v>18</v>
      </c>
      <c r="G20" t="s">
        <v>64</v>
      </c>
      <c r="H20" s="4">
        <f>NETWORKDAYS(F20,G20,Holidays!$A$2:$A$9)</f>
        <v>7</v>
      </c>
    </row>
    <row r="21" spans="1:8" hidden="1" x14ac:dyDescent="0.6">
      <c r="A21" t="s">
        <v>20</v>
      </c>
      <c r="B21" t="s">
        <v>21</v>
      </c>
      <c r="C21" t="s">
        <v>22</v>
      </c>
      <c r="D21" t="s">
        <v>63</v>
      </c>
      <c r="E21" t="s">
        <v>51</v>
      </c>
      <c r="F21" t="s">
        <v>65</v>
      </c>
      <c r="G21" t="s">
        <v>66</v>
      </c>
      <c r="H21" s="4">
        <f>NETWORKDAYS(F21,G21,Holidays!$A$2:$A$9)</f>
        <v>3</v>
      </c>
    </row>
    <row r="22" spans="1:8" hidden="1" x14ac:dyDescent="0.6">
      <c r="A22" t="s">
        <v>38</v>
      </c>
      <c r="B22" t="s">
        <v>30</v>
      </c>
      <c r="C22" t="s">
        <v>22</v>
      </c>
      <c r="D22" t="s">
        <v>52</v>
      </c>
      <c r="E22" t="s">
        <v>67</v>
      </c>
      <c r="F22" t="s">
        <v>43</v>
      </c>
      <c r="G22" t="s">
        <v>54</v>
      </c>
      <c r="H22" s="4">
        <f>NETWORKDAYS(F22,G22,Holidays!$A$2:$A$9)</f>
        <v>4</v>
      </c>
    </row>
    <row r="23" spans="1:8" hidden="1" x14ac:dyDescent="0.6">
      <c r="A23" t="s">
        <v>20</v>
      </c>
      <c r="B23" t="s">
        <v>21</v>
      </c>
      <c r="C23" t="s">
        <v>39</v>
      </c>
      <c r="D23" t="s">
        <v>23</v>
      </c>
      <c r="E23" t="s">
        <v>67</v>
      </c>
      <c r="F23" t="s">
        <v>28</v>
      </c>
      <c r="G23" t="s">
        <v>68</v>
      </c>
      <c r="H23" s="4">
        <f>NETWORKDAYS(F23,G23,Holidays!$A$2:$A$9)</f>
        <v>2</v>
      </c>
    </row>
    <row r="24" spans="1:8" hidden="1" x14ac:dyDescent="0.6">
      <c r="A24" t="s">
        <v>15</v>
      </c>
      <c r="B24" t="s">
        <v>21</v>
      </c>
      <c r="C24" t="s">
        <v>31</v>
      </c>
      <c r="D24" t="s">
        <v>11</v>
      </c>
      <c r="E24" t="s">
        <v>67</v>
      </c>
      <c r="F24" t="s">
        <v>69</v>
      </c>
      <c r="G24" t="s">
        <v>70</v>
      </c>
      <c r="H24" s="4">
        <f>NETWORKDAYS(F24,G24,Holidays!$A$2:$A$9)</f>
        <v>2</v>
      </c>
    </row>
    <row r="25" spans="1:8" hidden="1" x14ac:dyDescent="0.6">
      <c r="A25" t="s">
        <v>20</v>
      </c>
      <c r="B25" t="s">
        <v>30</v>
      </c>
      <c r="C25" t="s">
        <v>48</v>
      </c>
      <c r="D25" t="s">
        <v>23</v>
      </c>
      <c r="E25" t="s">
        <v>67</v>
      </c>
      <c r="F25" t="s">
        <v>71</v>
      </c>
      <c r="G25" t="s">
        <v>34</v>
      </c>
      <c r="H25" s="4">
        <f>NETWORKDAYS(F25,G25,Holidays!$A$2:$A$9)</f>
        <v>3</v>
      </c>
    </row>
    <row r="26" spans="1:8" hidden="1" x14ac:dyDescent="0.6">
      <c r="A26" t="s">
        <v>15</v>
      </c>
      <c r="B26" t="s">
        <v>25</v>
      </c>
      <c r="C26" t="s">
        <v>26</v>
      </c>
      <c r="D26" t="s">
        <v>17</v>
      </c>
      <c r="E26" t="s">
        <v>67</v>
      </c>
      <c r="F26" t="s">
        <v>72</v>
      </c>
      <c r="G26" t="s">
        <v>37</v>
      </c>
      <c r="H26" s="4">
        <f>NETWORKDAYS(F26,G26,Holidays!$A$2:$A$9)</f>
        <v>5</v>
      </c>
    </row>
    <row r="27" spans="1:8" hidden="1" x14ac:dyDescent="0.6">
      <c r="A27" t="s">
        <v>20</v>
      </c>
      <c r="B27" t="s">
        <v>25</v>
      </c>
      <c r="C27" t="s">
        <v>35</v>
      </c>
      <c r="D27" t="s">
        <v>11</v>
      </c>
      <c r="E27" t="s">
        <v>67</v>
      </c>
      <c r="F27" t="s">
        <v>64</v>
      </c>
      <c r="G27" t="s">
        <v>36</v>
      </c>
      <c r="H27" s="4">
        <f>NETWORKDAYS(F27,G27,Holidays!$A$2:$A$9)</f>
        <v>3</v>
      </c>
    </row>
    <row r="28" spans="1:8" hidden="1" x14ac:dyDescent="0.6">
      <c r="A28" t="s">
        <v>8</v>
      </c>
      <c r="B28" t="s">
        <v>30</v>
      </c>
      <c r="C28" t="s">
        <v>42</v>
      </c>
      <c r="D28" t="s">
        <v>45</v>
      </c>
      <c r="E28" t="s">
        <v>67</v>
      </c>
      <c r="F28" t="s">
        <v>62</v>
      </c>
      <c r="G28" t="s">
        <v>73</v>
      </c>
      <c r="H28" s="4">
        <f>NETWORKDAYS(F28,G28,Holidays!$A$2:$A$9)</f>
        <v>5</v>
      </c>
    </row>
    <row r="29" spans="1:8" hidden="1" x14ac:dyDescent="0.6">
      <c r="A29" t="s">
        <v>15</v>
      </c>
      <c r="B29" t="s">
        <v>30</v>
      </c>
      <c r="C29" t="s">
        <v>16</v>
      </c>
      <c r="D29" t="s">
        <v>23</v>
      </c>
      <c r="E29" t="s">
        <v>67</v>
      </c>
      <c r="F29" t="s">
        <v>18</v>
      </c>
      <c r="G29" t="s">
        <v>74</v>
      </c>
      <c r="H29" s="4">
        <f>NETWORKDAYS(F29,G29,Holidays!$A$2:$A$9)</f>
        <v>6</v>
      </c>
    </row>
    <row r="30" spans="1:8" hidden="1" x14ac:dyDescent="0.6">
      <c r="A30" t="s">
        <v>8</v>
      </c>
      <c r="B30" t="s">
        <v>9</v>
      </c>
      <c r="C30" t="s">
        <v>10</v>
      </c>
      <c r="D30" t="s">
        <v>32</v>
      </c>
      <c r="E30" t="s">
        <v>67</v>
      </c>
      <c r="F30" t="s">
        <v>41</v>
      </c>
      <c r="G30" t="s">
        <v>75</v>
      </c>
      <c r="H30" s="4">
        <f>NETWORKDAYS(F30,G30,Holidays!$A$2:$A$9)</f>
        <v>4</v>
      </c>
    </row>
    <row r="31" spans="1:8" hidden="1" x14ac:dyDescent="0.6">
      <c r="A31" t="s">
        <v>8</v>
      </c>
      <c r="B31" t="s">
        <v>30</v>
      </c>
      <c r="C31" t="s">
        <v>44</v>
      </c>
      <c r="D31" t="s">
        <v>17</v>
      </c>
      <c r="E31" t="s">
        <v>67</v>
      </c>
      <c r="F31" t="s">
        <v>76</v>
      </c>
      <c r="G31" t="s">
        <v>77</v>
      </c>
      <c r="H31" s="4">
        <f>NETWORKDAYS(F31,G31,Holidays!$A$2:$A$9)</f>
        <v>2</v>
      </c>
    </row>
  </sheetData>
  <autoFilter ref="A1:H31" xr:uid="{00000000-0001-0000-0000-000000000000}">
    <filterColumn colId="4">
      <filters>
        <filter val="작업자1"/>
      </filters>
    </filterColumn>
  </autoFilter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>
      <selection activeCell="A2" sqref="A2"/>
    </sheetView>
  </sheetViews>
  <sheetFormatPr defaultRowHeight="16.899999999999999" x14ac:dyDescent="0.6"/>
  <cols>
    <col min="1" max="1" width="15" customWidth="1"/>
  </cols>
  <sheetData>
    <row r="1" spans="1:1" x14ac:dyDescent="0.6">
      <c r="A1" s="2" t="s">
        <v>78</v>
      </c>
    </row>
    <row r="2" spans="1:1" x14ac:dyDescent="0.6">
      <c r="A2" t="s">
        <v>79</v>
      </c>
    </row>
    <row r="3" spans="1:1" x14ac:dyDescent="0.6">
      <c r="A3" t="s">
        <v>80</v>
      </c>
    </row>
    <row r="4" spans="1:1" x14ac:dyDescent="0.6">
      <c r="A4" t="s">
        <v>60</v>
      </c>
    </row>
    <row r="5" spans="1:1" x14ac:dyDescent="0.6">
      <c r="A5" t="s">
        <v>81</v>
      </c>
    </row>
    <row r="6" spans="1:1" x14ac:dyDescent="0.6">
      <c r="A6" t="s">
        <v>82</v>
      </c>
    </row>
    <row r="7" spans="1:1" x14ac:dyDescent="0.6">
      <c r="A7" t="s">
        <v>83</v>
      </c>
    </row>
    <row r="8" spans="1:1" x14ac:dyDescent="0.6">
      <c r="A8" t="s">
        <v>84</v>
      </c>
    </row>
    <row r="9" spans="1:1" x14ac:dyDescent="0.6">
      <c r="A9" t="s">
        <v>85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tabSelected="1" workbookViewId="0">
      <selection activeCell="A10" sqref="A10"/>
    </sheetView>
  </sheetViews>
  <sheetFormatPr defaultRowHeight="16.899999999999999" x14ac:dyDescent="0.6"/>
  <cols>
    <col min="1" max="1" width="21.9375" customWidth="1"/>
    <col min="2" max="2" width="11.8125" bestFit="1" customWidth="1"/>
  </cols>
  <sheetData>
    <row r="1" spans="1:2" x14ac:dyDescent="0.6">
      <c r="A1" s="1" t="s">
        <v>4</v>
      </c>
      <c r="B1" s="1" t="s">
        <v>86</v>
      </c>
    </row>
    <row r="3" spans="1:2" x14ac:dyDescent="0.6">
      <c r="A3" t="s">
        <v>87</v>
      </c>
      <c r="B3" s="3" t="s">
        <v>12</v>
      </c>
    </row>
    <row r="5" spans="1:2" x14ac:dyDescent="0.6">
      <c r="A5" t="s">
        <v>88</v>
      </c>
    </row>
    <row r="6" spans="1:2" x14ac:dyDescent="0.6">
      <c r="A6" s="6">
        <f>_xlfn.MINIFS(일정관리!$F2:$F31,일정관리!$E2:$E31,$B$3)</f>
        <v>46095</v>
      </c>
    </row>
    <row r="7" spans="1:2" x14ac:dyDescent="0.6">
      <c r="A7" t="s">
        <v>89</v>
      </c>
    </row>
    <row r="8" spans="1:2" x14ac:dyDescent="0.6">
      <c r="A8" s="6">
        <f>_xlfn.MAXIFS(일정관리!$G2:$G31,일정관리!$E2:$E31,$B$3)</f>
        <v>46132</v>
      </c>
    </row>
    <row r="9" spans="1:2" x14ac:dyDescent="0.6">
      <c r="A9" t="s">
        <v>90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일정관리</vt:lpstr>
      <vt:lpstr>Holidays</vt:lpstr>
      <vt:lpstr>누락날짜시트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DK Park</cp:lastModifiedBy>
  <dcterms:created xsi:type="dcterms:W3CDTF">2026-03-03T11:52:35Z</dcterms:created>
  <dcterms:modified xsi:type="dcterms:W3CDTF">2026-03-03T12:27:37Z</dcterms:modified>
</cp:coreProperties>
</file>